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ate1904="1" codeName="ThisWorkbook" defaultThemeVersion="124226"/>
  <bookViews>
    <workbookView xWindow="105" yWindow="45" windowWidth="12120" windowHeight="5100"/>
  </bookViews>
  <sheets>
    <sheet name="Solution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</sheets>
  <calcPr calcId="145621"/>
  <customWorkbookViews>
    <customWorkbookView name="Ohlmann - Personal View" guid="{75641C9F-89C8-4915-8F8F-D60533498FC3}" mergeInterval="0" personalView="1" maximized="1" xWindow="1" yWindow="1" windowWidth="1020" windowHeight="380" activeSheetId="1"/>
    <customWorkbookView name="Jeff - Personal View" guid="{5B5CD26C-FDAA-48EF-B6CF-7C8DE82FD9C7}" mergeInterval="0" personalView="1" maximized="1" windowWidth="1262" windowHeight="706" activeSheetId="1"/>
  </customWorkbookViews>
</workbook>
</file>

<file path=xl/calcChain.xml><?xml version="1.0" encoding="utf-8"?>
<calcChain xmlns="http://schemas.openxmlformats.org/spreadsheetml/2006/main">
  <c r="C13" i="1" l="1"/>
  <c r="C14" i="1"/>
  <c r="C15" i="1" s="1"/>
  <c r="C26" i="1" s="1"/>
  <c r="C18" i="1"/>
  <c r="C16" i="1" l="1"/>
  <c r="C17" i="1" s="1"/>
</calcChain>
</file>

<file path=xl/sharedStrings.xml><?xml version="1.0" encoding="utf-8"?>
<sst xmlns="http://schemas.openxmlformats.org/spreadsheetml/2006/main" count="17" uniqueCount="17">
  <si>
    <t xml:space="preserve">Assumptions  </t>
  </si>
  <si>
    <t xml:space="preserve">     Poisson Arrivals</t>
  </si>
  <si>
    <t xml:space="preserve">     Exponential Service Times</t>
  </si>
  <si>
    <t>Operating Characteristics</t>
  </si>
  <si>
    <t xml:space="preserve">     The waiting cost per unit</t>
  </si>
  <si>
    <t xml:space="preserve">     The service cost per channel</t>
  </si>
  <si>
    <t xml:space="preserve">     Total cost per time period</t>
  </si>
  <si>
    <t>Average number of customers in the system, L</t>
  </si>
  <si>
    <t>Average time a customer spends in the system, W</t>
  </si>
  <si>
    <t>Economic Analysis (Optional)</t>
  </si>
  <si>
    <t xml:space="preserve">      Arrival Rate</t>
  </si>
  <si>
    <t xml:space="preserve">      Service Rate</t>
  </si>
  <si>
    <t>Single-Server Waiting Line Model</t>
  </si>
  <si>
    <r>
      <t>Probability that no customers are in the system, P</t>
    </r>
    <r>
      <rPr>
        <vertAlign val="subscript"/>
        <sz val="12"/>
        <rFont val="Times New Roman"/>
        <family val="1"/>
      </rPr>
      <t>0</t>
    </r>
  </si>
  <si>
    <r>
      <t>Average number of customers in the waiting line, L</t>
    </r>
    <r>
      <rPr>
        <vertAlign val="subscript"/>
        <sz val="12"/>
        <rFont val="Times New Roman"/>
        <family val="1"/>
      </rPr>
      <t>q</t>
    </r>
  </si>
  <si>
    <r>
      <t>Average time a customer spends in the waiting line, W</t>
    </r>
    <r>
      <rPr>
        <vertAlign val="subscript"/>
        <sz val="12"/>
        <rFont val="Times New Roman"/>
        <family val="1"/>
      </rPr>
      <t>q</t>
    </r>
  </si>
  <si>
    <r>
      <t>Probability an arriving customer has to wait, P</t>
    </r>
    <r>
      <rPr>
        <vertAlign val="subscript"/>
        <sz val="12"/>
        <rFont val="Times New Roman"/>
        <family val="1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</si>
</sst>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6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vertAlign val="subscript"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164" fontId="3" fillId="2" borderId="1" xfId="0" applyNumberFormat="1" applyFont="1" applyFill="1" applyBorder="1"/>
    <xf numFmtId="164" fontId="3" fillId="2" borderId="3" xfId="0" applyNumberFormat="1" applyFont="1" applyFill="1" applyBorder="1"/>
    <xf numFmtId="164" fontId="3" fillId="2" borderId="2" xfId="0" applyNumberFormat="1" applyFont="1" applyFill="1" applyBorder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6"/>
  <sheetViews>
    <sheetView tabSelected="1" topLeftCell="A4" workbookViewId="0">
      <selection activeCell="E14" sqref="E14"/>
    </sheetView>
  </sheetViews>
  <sheetFormatPr defaultColWidth="10.7109375" defaultRowHeight="15.75"/>
  <cols>
    <col min="1" max="1" width="49.85546875" style="2" bestFit="1" customWidth="1"/>
    <col min="2" max="2" width="11.7109375" style="2" customWidth="1"/>
    <col min="3" max="3" width="12.28515625" style="2" customWidth="1"/>
    <col min="4" max="16384" width="10.7109375" style="2"/>
  </cols>
  <sheetData>
    <row r="1" spans="1:3" ht="18.75">
      <c r="A1" s="1" t="s">
        <v>12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 ht="16.5" thickBot="1"/>
    <row r="7" spans="1:3">
      <c r="A7" s="2" t="s">
        <v>10</v>
      </c>
      <c r="B7" s="4">
        <v>0.75</v>
      </c>
    </row>
    <row r="8" spans="1:3" ht="16.5" thickBot="1">
      <c r="A8" s="2" t="s">
        <v>11</v>
      </c>
      <c r="B8" s="5">
        <v>1</v>
      </c>
    </row>
    <row r="11" spans="1:3">
      <c r="A11" s="3" t="s">
        <v>3</v>
      </c>
    </row>
    <row r="12" spans="1:3" ht="16.5" thickBot="1"/>
    <row r="13" spans="1:3" ht="18.75">
      <c r="A13" s="2" t="s">
        <v>13</v>
      </c>
      <c r="C13" s="6">
        <f>1-B7/B8</f>
        <v>0.25</v>
      </c>
    </row>
    <row r="14" spans="1:3" ht="18.75">
      <c r="A14" s="2" t="s">
        <v>14</v>
      </c>
      <c r="C14" s="7">
        <f>B7^2/(B8*(B8-B7))</f>
        <v>2.25</v>
      </c>
    </row>
    <row r="15" spans="1:3">
      <c r="A15" s="2" t="s">
        <v>7</v>
      </c>
      <c r="C15" s="7">
        <f>C14+B7/B8</f>
        <v>3</v>
      </c>
    </row>
    <row r="16" spans="1:3" ht="18.75">
      <c r="A16" s="2" t="s">
        <v>15</v>
      </c>
      <c r="C16" s="7">
        <f>C14/B7</f>
        <v>3</v>
      </c>
    </row>
    <row r="17" spans="1:3">
      <c r="A17" s="2" t="s">
        <v>8</v>
      </c>
      <c r="C17" s="7">
        <f>C16+1/B8</f>
        <v>4</v>
      </c>
    </row>
    <row r="18" spans="1:3" ht="19.5" thickBot="1">
      <c r="A18" s="2" t="s">
        <v>16</v>
      </c>
      <c r="C18" s="8">
        <f>B7/B8</f>
        <v>0.75</v>
      </c>
    </row>
    <row r="21" spans="1:3">
      <c r="A21" s="3" t="s">
        <v>9</v>
      </c>
    </row>
    <row r="22" spans="1:3" ht="16.5" thickBot="1"/>
    <row r="23" spans="1:3">
      <c r="A23" s="9" t="s">
        <v>4</v>
      </c>
      <c r="B23" s="4"/>
    </row>
    <row r="24" spans="1:3" ht="16.5" thickBot="1">
      <c r="A24" s="9" t="s">
        <v>5</v>
      </c>
      <c r="B24" s="5"/>
    </row>
    <row r="25" spans="1:3" ht="16.5" thickBot="1">
      <c r="A25" s="9"/>
    </row>
    <row r="26" spans="1:3" ht="16.5" thickBot="1">
      <c r="A26" s="9" t="s">
        <v>6</v>
      </c>
      <c r="C26" s="10">
        <f>B23*C15+B24</f>
        <v>0</v>
      </c>
    </row>
  </sheetData>
  <customSheetViews>
    <customSheetView guid="{75641C9F-89C8-4915-8F8F-D60533498FC3}">
      <selection activeCell="A8" sqref="A8"/>
      <pageMargins left="0.75" right="0.75" top="1" bottom="1" header="0.5" footer="0.5"/>
      <printOptions gridLines="1"/>
      <pageSetup orientation="portrait" horizontalDpi="4294967292" verticalDpi="4294967292" r:id="rId1"/>
      <headerFooter alignWithMargins="0"/>
    </customSheetView>
    <customSheetView guid="{5B5CD26C-FDAA-48EF-B6CF-7C8DE82FD9C7}">
      <selection activeCell="F21" sqref="F21"/>
      <pageMargins left="0.75" right="0.75" top="1" bottom="1" header="0.5" footer="0.5"/>
      <printOptions gridLines="1"/>
      <pageSetup orientation="portrait" horizontalDpi="4294967292" verticalDpi="4294967292" r:id="rId2"/>
      <headerFooter alignWithMargins="0"/>
    </customSheetView>
  </customSheetViews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ColWidth="11.42578125" defaultRowHeight="12.75"/>
  <sheetData/>
  <customSheetViews>
    <customSheetView guid="{75641C9F-89C8-4915-8F8F-D60533498FC3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  <customSheetView guid="{5B5CD26C-FDAA-48EF-B6CF-7C8DE82FD9C7}">
      <pageMargins left="0.75" right="0.75" top="1" bottom="1" header="0.5" footer="0.5"/>
      <printOptions gridLines="1"/>
      <headerFooter alignWithMargins="0">
        <oddHeader>&amp;A</oddHeader>
        <oddFooter>Page &amp;P</oddFooter>
      </headerFooter>
    </customSheetView>
  </customSheetViews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</cp:lastModifiedBy>
  <cp:lastPrinted>1997-09-05T14:25:21Z</cp:lastPrinted>
  <dcterms:created xsi:type="dcterms:W3CDTF">1997-06-02T20:02:28Z</dcterms:created>
  <dcterms:modified xsi:type="dcterms:W3CDTF">2011-12-02T04:25:29Z</dcterms:modified>
</cp:coreProperties>
</file>