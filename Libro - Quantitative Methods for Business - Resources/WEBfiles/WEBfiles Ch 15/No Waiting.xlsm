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date1904="1" codeName="ThisWorkbook" defaultThemeVersion="124226"/>
  <bookViews>
    <workbookView xWindow="675" yWindow="75" windowWidth="11415" windowHeight="4860"/>
  </bookViews>
  <sheets>
    <sheet name="Solution" sheetId="1" r:id="rId1"/>
    <sheet name="Pj Function" sheetId="2" state="veryHidden" r:id="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</sheets>
  <functionGroups builtInGroupCount="17"/>
  <calcPr calcId="144525"/>
</workbook>
</file>

<file path=xl/calcChain.xml><?xml version="1.0" encoding="utf-8"?>
<calcChain xmlns="http://schemas.openxmlformats.org/spreadsheetml/2006/main">
  <c r="C17" i="1" l="1"/>
  <c r="C18" i="1"/>
  <c r="C19" i="1"/>
  <c r="C20" i="1"/>
  <c r="C16" i="1"/>
  <c r="C22" i="1" l="1"/>
  <c r="C24" i="1" s="1"/>
  <c r="C32" i="1" s="1"/>
</calcChain>
</file>

<file path=xl/sharedStrings.xml><?xml version="1.0" encoding="utf-8"?>
<sst xmlns="http://schemas.openxmlformats.org/spreadsheetml/2006/main" count="17" uniqueCount="17">
  <si>
    <t xml:space="preserve">Assumptions  </t>
  </si>
  <si>
    <t xml:space="preserve">     Poisson Arrivals</t>
  </si>
  <si>
    <t xml:space="preserve">     Arbitrary Service Times</t>
  </si>
  <si>
    <t>Operating Characteristics</t>
  </si>
  <si>
    <t xml:space="preserve">Number of </t>
  </si>
  <si>
    <t>Probability</t>
  </si>
  <si>
    <t xml:space="preserve">     The waiting cost per unit</t>
  </si>
  <si>
    <t xml:space="preserve">     Total cost per time period</t>
  </si>
  <si>
    <t>Probability callers will be blocked</t>
  </si>
  <si>
    <t>Average number of callers in the system, L</t>
  </si>
  <si>
    <t>Economic Analysis (Optional)</t>
  </si>
  <si>
    <t>Model with No Waiting Allowed</t>
  </si>
  <si>
    <t xml:space="preserve">      Arrival Rate</t>
  </si>
  <si>
    <t xml:space="preserve">      Number of Servers</t>
  </si>
  <si>
    <t xml:space="preserve">      Service Rate For Each Server</t>
  </si>
  <si>
    <t xml:space="preserve">     The service cost per server</t>
  </si>
  <si>
    <t xml:space="preserve">Servers Busy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</si>
</sst>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6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2" borderId="1" xfId="0" applyNumberFormat="1" applyFont="1" applyFill="1" applyBorder="1" applyAlignment="1">
      <alignment horizontal="right"/>
    </xf>
    <xf numFmtId="0" fontId="3" fillId="0" borderId="2" xfId="0" applyFont="1" applyBorder="1" applyAlignment="1">
      <alignment horizontal="center"/>
    </xf>
    <xf numFmtId="164" fontId="3" fillId="2" borderId="2" xfId="0" applyNumberFormat="1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164" fontId="3" fillId="2" borderId="3" xfId="0" applyNumberFormat="1" applyFont="1" applyFill="1" applyBorder="1" applyAlignment="1">
      <alignment horizontal="right"/>
    </xf>
    <xf numFmtId="0" fontId="3" fillId="0" borderId="0" xfId="0" applyFont="1" applyAlignment="1">
      <alignment horizontal="center"/>
    </xf>
    <xf numFmtId="164" fontId="3" fillId="0" borderId="0" xfId="0" applyNumberFormat="1" applyFont="1" applyBorder="1" applyAlignment="1">
      <alignment horizontal="right"/>
    </xf>
    <xf numFmtId="164" fontId="3" fillId="2" borderId="4" xfId="0" applyNumberFormat="1" applyFont="1" applyFill="1" applyBorder="1" applyAlignment="1">
      <alignment horizontal="right"/>
    </xf>
    <xf numFmtId="0" fontId="5" fillId="0" borderId="0" xfId="0" applyFont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tabSelected="1" workbookViewId="0">
      <selection activeCell="B25" sqref="B25"/>
    </sheetView>
  </sheetViews>
  <sheetFormatPr defaultColWidth="17.140625" defaultRowHeight="15.75"/>
  <cols>
    <col min="1" max="1" width="38.28515625" style="2" customWidth="1"/>
    <col min="2" max="2" width="15.85546875" style="2" bestFit="1" customWidth="1"/>
    <col min="3" max="3" width="12.28515625" style="2" customWidth="1"/>
    <col min="4" max="16384" width="17.140625" style="2"/>
  </cols>
  <sheetData>
    <row r="1" spans="1:3" ht="18.75">
      <c r="A1" s="1" t="s">
        <v>11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>
      <c r="A6" s="3"/>
    </row>
    <row r="7" spans="1:3" ht="16.5" thickBot="1"/>
    <row r="8" spans="1:3">
      <c r="A8" s="2" t="s">
        <v>13</v>
      </c>
      <c r="B8" s="4">
        <v>4</v>
      </c>
    </row>
    <row r="9" spans="1:3">
      <c r="A9" s="2" t="s">
        <v>12</v>
      </c>
      <c r="B9" s="5">
        <v>12</v>
      </c>
    </row>
    <row r="10" spans="1:3" ht="16.5" thickBot="1">
      <c r="A10" s="2" t="s">
        <v>14</v>
      </c>
      <c r="B10" s="6">
        <v>6</v>
      </c>
    </row>
    <row r="13" spans="1:3">
      <c r="A13" s="3" t="s">
        <v>3</v>
      </c>
    </row>
    <row r="14" spans="1:3">
      <c r="A14" s="3"/>
      <c r="B14" s="7" t="s">
        <v>4</v>
      </c>
    </row>
    <row r="15" spans="1:3" ht="16.5" thickBot="1">
      <c r="B15" s="7" t="s">
        <v>16</v>
      </c>
      <c r="C15" s="7" t="s">
        <v>5</v>
      </c>
    </row>
    <row r="16" spans="1:3">
      <c r="B16" s="8">
        <v>0</v>
      </c>
      <c r="C16" s="9">
        <f>Pj($B$8,$B$9,$B$10,B16)</f>
        <v>0.14285714285714285</v>
      </c>
    </row>
    <row r="17" spans="1:3">
      <c r="B17" s="10">
        <v>1</v>
      </c>
      <c r="C17" s="11">
        <f>Pj($B$8,$B$9,$B$10,B17)</f>
        <v>0.2857142857142857</v>
      </c>
    </row>
    <row r="18" spans="1:3">
      <c r="B18" s="10">
        <v>2</v>
      </c>
      <c r="C18" s="11">
        <f>Pj($B$8,$B$9,$B$10,B18)</f>
        <v>0.2857142857142857</v>
      </c>
    </row>
    <row r="19" spans="1:3">
      <c r="B19" s="10">
        <v>3</v>
      </c>
      <c r="C19" s="11">
        <f>Pj($B$8,$B$9,$B$10,B19)</f>
        <v>0.19047619047619047</v>
      </c>
    </row>
    <row r="20" spans="1:3" ht="16.5" thickBot="1">
      <c r="B20" s="12">
        <v>4</v>
      </c>
      <c r="C20" s="13">
        <f>Pj($B$8,$B$9,$B$10,B20)</f>
        <v>9.5238095238095233E-2</v>
      </c>
    </row>
    <row r="21" spans="1:3" ht="16.5" thickBot="1">
      <c r="B21" s="14"/>
      <c r="C21" s="15"/>
    </row>
    <row r="22" spans="1:3" ht="16.5" thickBot="1">
      <c r="A22" s="2" t="s">
        <v>8</v>
      </c>
      <c r="C22" s="16">
        <f>1-C20</f>
        <v>0.90476190476190477</v>
      </c>
    </row>
    <row r="23" spans="1:3" ht="16.5" thickBot="1">
      <c r="C23" s="15"/>
    </row>
    <row r="24" spans="1:3" ht="16.5" thickBot="1">
      <c r="A24" s="2" t="s">
        <v>9</v>
      </c>
      <c r="C24" s="16">
        <f>(B9/B10)*C22</f>
        <v>1.8095238095238095</v>
      </c>
    </row>
    <row r="25" spans="1:3" s="17" customFormat="1" ht="12.75"/>
    <row r="27" spans="1:3">
      <c r="A27" s="3" t="s">
        <v>10</v>
      </c>
    </row>
    <row r="28" spans="1:3" ht="16.5" thickBot="1"/>
    <row r="29" spans="1:3">
      <c r="A29" s="18" t="s">
        <v>6</v>
      </c>
      <c r="B29" s="4"/>
    </row>
    <row r="30" spans="1:3" ht="16.5" thickBot="1">
      <c r="A30" s="18" t="s">
        <v>15</v>
      </c>
      <c r="B30" s="6"/>
    </row>
    <row r="31" spans="1:3" ht="16.5" thickBot="1">
      <c r="A31" s="18"/>
    </row>
    <row r="32" spans="1:3" ht="16.5" thickBot="1">
      <c r="A32" s="18" t="s">
        <v>7</v>
      </c>
      <c r="C32" s="19">
        <f>B29*C24+B30*B8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bizsetup</cp:lastModifiedBy>
  <dcterms:created xsi:type="dcterms:W3CDTF">1997-06-02T20:12:32Z</dcterms:created>
  <dcterms:modified xsi:type="dcterms:W3CDTF">2011-07-01T16:24:19Z</dcterms:modified>
</cp:coreProperties>
</file>